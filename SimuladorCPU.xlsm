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ELO_777\Desktop\U\SEMESTRE IV\ARQUITECTURA DE COMPUTADORAS\PROYECTO\simulador_cpu_8bits\"/>
    </mc:Choice>
  </mc:AlternateContent>
  <xr:revisionPtr revIDLastSave="0" documentId="13_ncr:1_{148BB6E3-F0E0-48A2-A7CE-ED2DC5EB49D7}" xr6:coauthVersionLast="47" xr6:coauthVersionMax="47" xr10:uidLastSave="{00000000-0000-0000-0000-000000000000}"/>
  <bookViews>
    <workbookView xWindow="-108" yWindow="-108" windowWidth="23256" windowHeight="13176" xr2:uid="{DE120377-559B-4EF3-BE0F-121F6654C391}"/>
  </bookViews>
  <sheets>
    <sheet name="CP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1" i="1" l="1"/>
  <c r="U20" i="1"/>
  <c r="W10" i="1"/>
  <c r="V10" i="1"/>
  <c r="W9" i="1"/>
  <c r="V9" i="1"/>
  <c r="W8" i="1"/>
  <c r="V8" i="1"/>
  <c r="W7" i="1"/>
  <c r="V7" i="1"/>
  <c r="W6" i="1"/>
  <c r="V6" i="1"/>
  <c r="W5" i="1"/>
  <c r="V5" i="1"/>
</calcChain>
</file>

<file path=xl/sharedStrings.xml><?xml version="1.0" encoding="utf-8"?>
<sst xmlns="http://schemas.openxmlformats.org/spreadsheetml/2006/main" count="537" uniqueCount="281">
  <si>
    <t>SIMULADOR DE CPU DE 8 BITS</t>
  </si>
  <si>
    <t>MEMORIA RAM (256 bytes: 00h - FFh)</t>
  </si>
  <si>
    <t>0</t>
  </si>
  <si>
    <t>00</t>
  </si>
  <si>
    <t>1</t>
  </si>
  <si>
    <t>10</t>
  </si>
  <si>
    <t>2</t>
  </si>
  <si>
    <t>20</t>
  </si>
  <si>
    <t>3</t>
  </si>
  <si>
    <t>30</t>
  </si>
  <si>
    <t>4</t>
  </si>
  <si>
    <t>40</t>
  </si>
  <si>
    <t>5</t>
  </si>
  <si>
    <t>50</t>
  </si>
  <si>
    <t>6</t>
  </si>
  <si>
    <t>60</t>
  </si>
  <si>
    <t>7</t>
  </si>
  <si>
    <t>70</t>
  </si>
  <si>
    <t>8</t>
  </si>
  <si>
    <t>80</t>
  </si>
  <si>
    <t>9</t>
  </si>
  <si>
    <t>90</t>
  </si>
  <si>
    <t>A</t>
  </si>
  <si>
    <t>A0</t>
  </si>
  <si>
    <t>B</t>
  </si>
  <si>
    <t>B0</t>
  </si>
  <si>
    <t>C</t>
  </si>
  <si>
    <t>C0</t>
  </si>
  <si>
    <t>D</t>
  </si>
  <si>
    <t>D0</t>
  </si>
  <si>
    <t>E</t>
  </si>
  <si>
    <t>E0</t>
  </si>
  <si>
    <t>F</t>
  </si>
  <si>
    <t>F0</t>
  </si>
  <si>
    <t>CODIGO</t>
  </si>
  <si>
    <t>DATOS</t>
  </si>
  <si>
    <t>REGISTROS</t>
  </si>
  <si>
    <t>Reg</t>
  </si>
  <si>
    <t>Hex</t>
  </si>
  <si>
    <t>Binario</t>
  </si>
  <si>
    <t>Dec</t>
  </si>
  <si>
    <t>PC</t>
  </si>
  <si>
    <t>IR</t>
  </si>
  <si>
    <t>MAR</t>
  </si>
  <si>
    <t>MDR</t>
  </si>
  <si>
    <t>AX</t>
  </si>
  <si>
    <t>BX</t>
  </si>
  <si>
    <t>BANDERAS</t>
  </si>
  <si>
    <t>ZF</t>
  </si>
  <si>
    <t>CF</t>
  </si>
  <si>
    <t>SF</t>
  </si>
  <si>
    <t>INSPECTOR (clic en una celda de la RAM)</t>
  </si>
  <si>
    <t>Direccion</t>
  </si>
  <si>
    <t>Decimal</t>
  </si>
  <si>
    <t>CICLO DE INSTRUCCION</t>
  </si>
  <si>
    <t>Fase</t>
  </si>
  <si>
    <t>Instruccion</t>
  </si>
  <si>
    <t>52</t>
  </si>
  <si>
    <t>23</t>
  </si>
  <si>
    <t>F1</t>
  </si>
  <si>
    <t>99</t>
  </si>
  <si>
    <t>HLT</t>
  </si>
  <si>
    <t>DETENIDO</t>
  </si>
  <si>
    <t>Delay (ms)</t>
  </si>
  <si>
    <t>21</t>
  </si>
  <si>
    <t>22</t>
  </si>
  <si>
    <t>82</t>
  </si>
  <si>
    <t>81</t>
  </si>
  <si>
    <t>16</t>
  </si>
  <si>
    <t>32</t>
  </si>
  <si>
    <t>06</t>
  </si>
  <si>
    <t>07</t>
  </si>
  <si>
    <t>17</t>
  </si>
  <si>
    <t>LOG DE MICRO-OPERACIONES (el paso mas nuevo arriba)</t>
  </si>
  <si>
    <t>[Paso 01] FETCH: MAR=00, MDR=10 -&gt; IR=10, PC=01</t>
  </si>
  <si>
    <t>[Paso 02] DECODE: IR=10 -&gt; MOV AX, 00  (operando: MAR=01, MDR=00)</t>
  </si>
  <si>
    <t>[Paso 03] EXECUTE: dato = 00</t>
  </si>
  <si>
    <t>[Paso 04] STORE: AX &lt;- 00</t>
  </si>
  <si>
    <t>[Paso 05] FETCH: MAR=02, MDR=21 -&gt; IR=21, PC=03</t>
  </si>
  <si>
    <t>[Paso 06] DECODE: IR=21 -&gt; LOAD BX, [80]  (operando: MAR=03, MDR=80)</t>
  </si>
  <si>
    <t>[Paso 07] EXECUTE: MAR=80, MDR=07 (leido de memoria)</t>
  </si>
  <si>
    <t>[Paso 08] STORE: BX &lt;- 07</t>
  </si>
  <si>
    <t>[Paso 09] FETCH: MAR=04, MDR=22 -&gt; IR=22, PC=05</t>
  </si>
  <si>
    <t>[Paso 10] DECODE: IR=22 -&gt; STORE [82], AX  (operando: MAR=05, MDR=82)</t>
  </si>
  <si>
    <t>[Paso 11] EXECUTE: dato a guardar = 00</t>
  </si>
  <si>
    <t>[Paso 12] STORE: MAR=82, MDR=00 -&gt; RAM[82]=00</t>
  </si>
  <si>
    <t>[Paso 13] FETCH: MAR=06, MDR=20 -&gt; IR=20, PC=07</t>
  </si>
  <si>
    <t>[Paso 14] DECODE: IR=20 -&gt; LOAD AX, [81]  (operando: MAR=07, MDR=81)</t>
  </si>
  <si>
    <t>[Paso 15] EXECUTE: MAR=81, MDR=05 (leido de memoria)</t>
  </si>
  <si>
    <t>[Paso 16] STORE: AX &lt;- 05</t>
  </si>
  <si>
    <t>[Paso 17] FETCH: MAR=08, MDR=60 -&gt; IR=60, PC=09</t>
  </si>
  <si>
    <t>[Paso 18] DECODE: IR=60 -&gt; CMP AX, 00  (operando: MAR=09, MDR=00)</t>
  </si>
  <si>
    <t>[Paso 19] EXECUTE: ALU CMP = 05    ZF=0  CF=0  SF=0</t>
  </si>
  <si>
    <t>[Paso 20] STORE: (no guarda nada)</t>
  </si>
  <si>
    <t>[Paso 21] FETCH: MAR=0A, MDR=F1 -&gt; IR=F1, PC=0B</t>
  </si>
  <si>
    <t>[Paso 22] DECODE: IR=F1 -&gt; JZ 16  (operando: MAR=0B, MDR=16)</t>
  </si>
  <si>
    <t>[Paso 23] EXECUTE: ZF=0 -&gt; no salta</t>
  </si>
  <si>
    <t>[Paso 24] STORE: (no guarda nada)</t>
  </si>
  <si>
    <t>[Paso 25] FETCH: MAR=0C, MDR=52 -&gt; IR=52, PC=0D</t>
  </si>
  <si>
    <t>[Paso 26] DECODE: IR=52 -&gt; DEC AX</t>
  </si>
  <si>
    <t>[Paso 27] EXECUTE: ALU DEC = 04    ZF=0  CF=0  SF=0</t>
  </si>
  <si>
    <t>[Paso 28] STORE: AX &lt;- 04</t>
  </si>
  <si>
    <t>[Paso 29] FETCH: MAR=0D, MDR=22 -&gt; IR=22, PC=0E</t>
  </si>
  <si>
    <t>[Paso 30] DECODE: IR=22 -&gt; STORE [81], AX  (operando: MAR=0E, MDR=81)</t>
  </si>
  <si>
    <t>[Paso 31] EXECUTE: dato a guardar = 04</t>
  </si>
  <si>
    <t>[Paso 32] STORE: MAR=81, MDR=04 -&gt; RAM[81]=04</t>
  </si>
  <si>
    <t>[Paso 33] FETCH: MAR=0F, MDR=20 -&gt; IR=20, PC=10</t>
  </si>
  <si>
    <t>[Paso 34] DECODE: IR=20 -&gt; LOAD AX, [82]  (operando: MAR=10, MDR=82)</t>
  </si>
  <si>
    <t>[Paso 35] EXECUTE: MAR=82, MDR=00 (leido de memoria)</t>
  </si>
  <si>
    <t>[Paso 36] STORE: AX &lt;- 00</t>
  </si>
  <si>
    <t>[Paso 37] FETCH: MAR=11, MDR=32 -&gt; IR=32, PC=12</t>
  </si>
  <si>
    <t>[Paso 38] DECODE: IR=32 -&gt; ADD AX, BX</t>
  </si>
  <si>
    <t>[Paso 39] EXECUTE: ALU ADD = 07    ZF=0  CF=0  SF=0</t>
  </si>
  <si>
    <t>[Paso 40] STORE: AX &lt;- 07</t>
  </si>
  <si>
    <t>[Paso 41] FETCH: MAR=12, MDR=22 -&gt; IR=22, PC=13</t>
  </si>
  <si>
    <t>[Paso 42] DECODE: IR=22 -&gt; STORE [82], AX  (operando: MAR=13, MDR=82)</t>
  </si>
  <si>
    <t>[Paso 43] EXECUTE: dato a guardar = 07</t>
  </si>
  <si>
    <t>[Paso 44] STORE: MAR=82, MDR=07 -&gt; RAM[82]=07</t>
  </si>
  <si>
    <t>[Paso 45] FETCH: MAR=14, MDR=F0 -&gt; IR=F0, PC=15</t>
  </si>
  <si>
    <t>[Paso 46] DECODE: IR=F0 -&gt; JMP 06  (operando: MAR=15, MDR=06)</t>
  </si>
  <si>
    <t>[Paso 47] EXECUTE: PC=06 (salta)</t>
  </si>
  <si>
    <t>[Paso 48] STORE: (no guarda nada)</t>
  </si>
  <si>
    <t>[Paso 49] FETCH: MAR=06, MDR=20 -&gt; IR=20, PC=07</t>
  </si>
  <si>
    <t>[Paso 50] DECODE: IR=20 -&gt; LOAD AX, [81]  (operando: MAR=07, MDR=81)</t>
  </si>
  <si>
    <t>[Paso 51] EXECUTE: MAR=81, MDR=04 (leido de memoria)</t>
  </si>
  <si>
    <t>[Paso 52] STORE: AX &lt;- 04</t>
  </si>
  <si>
    <t>[Paso 53] FETCH: MAR=08, MDR=60 -&gt; IR=60, PC=09</t>
  </si>
  <si>
    <t>[Paso 54] DECODE: IR=60 -&gt; CMP AX, 00  (operando: MAR=09, MDR=00)</t>
  </si>
  <si>
    <t>[Paso 55] EXECUTE: ALU CMP = 04    ZF=0  CF=0  SF=0</t>
  </si>
  <si>
    <t>[Paso 56] STORE: (no guarda nada)</t>
  </si>
  <si>
    <t>[Paso 57] FETCH: MAR=0A, MDR=F1 -&gt; IR=F1, PC=0B</t>
  </si>
  <si>
    <t>[Paso 58] DECODE: IR=F1 -&gt; JZ 16  (operando: MAR=0B, MDR=16)</t>
  </si>
  <si>
    <t>[Paso 59] EXECUTE: ZF=0 -&gt; no salta</t>
  </si>
  <si>
    <t>[Paso 60] STORE: (no guarda nada)</t>
  </si>
  <si>
    <t>[Paso 61] FETCH: MAR=0C, MDR=52 -&gt; IR=52, PC=0D</t>
  </si>
  <si>
    <t>[Paso 62] DECODE: IR=52 -&gt; DEC AX</t>
  </si>
  <si>
    <t>[Paso 63] EXECUTE: ALU DEC = 03    ZF=0  CF=0  SF=0</t>
  </si>
  <si>
    <t>[Paso 64] STORE: AX &lt;- 03</t>
  </si>
  <si>
    <t>[Paso 65] FETCH: MAR=0D, MDR=22 -&gt; IR=22, PC=0E</t>
  </si>
  <si>
    <t>[Paso 66] DECODE: IR=22 -&gt; STORE [81], AX  (operando: MAR=0E, MDR=81)</t>
  </si>
  <si>
    <t>[Paso 67] EXECUTE: dato a guardar = 03</t>
  </si>
  <si>
    <t>[Paso 68] STORE: MAR=81, MDR=03 -&gt; RAM[81]=03</t>
  </si>
  <si>
    <t>[Paso 69] FETCH: MAR=0F, MDR=20 -&gt; IR=20, PC=10</t>
  </si>
  <si>
    <t>[Paso 70] DECODE: IR=20 -&gt; LOAD AX, [82]  (operando: MAR=10, MDR=82)</t>
  </si>
  <si>
    <t>[Paso 71] EXECUTE: MAR=82, MDR=07 (leido de memoria)</t>
  </si>
  <si>
    <t>[Paso 72] STORE: AX &lt;- 07</t>
  </si>
  <si>
    <t>[Paso 73] FETCH: MAR=11, MDR=32 -&gt; IR=32, PC=12</t>
  </si>
  <si>
    <t>[Paso 74] DECODE: IR=32 -&gt; ADD AX, BX</t>
  </si>
  <si>
    <t>[Paso 75] EXECUTE: ALU ADD = 0E    ZF=0  CF=0  SF=0</t>
  </si>
  <si>
    <t>[Paso 76] STORE: AX &lt;- 0E</t>
  </si>
  <si>
    <t>[Paso 77] FETCH: MAR=12, MDR=22 -&gt; IR=22, PC=13</t>
  </si>
  <si>
    <t>[Paso 78] DECODE: IR=22 -&gt; STORE [82], AX  (operando: MAR=13, MDR=82)</t>
  </si>
  <si>
    <t>[Paso 79] EXECUTE: dato a guardar = 0E</t>
  </si>
  <si>
    <t>[Paso 80] STORE: MAR=82, MDR=0E -&gt; RAM[82]=0E</t>
  </si>
  <si>
    <t>[Paso 81] FETCH: MAR=14, MDR=F0 -&gt; IR=F0, PC=15</t>
  </si>
  <si>
    <t>[Paso 82] DECODE: IR=F0 -&gt; JMP 06  (operando: MAR=15, MDR=06)</t>
  </si>
  <si>
    <t>[Paso 83] EXECUTE: PC=06 (salta)</t>
  </si>
  <si>
    <t>[Paso 84] STORE: (no guarda nada)</t>
  </si>
  <si>
    <t>[Paso 85] FETCH: MAR=06, MDR=20 -&gt; IR=20, PC=07</t>
  </si>
  <si>
    <t>[Paso 86] DECODE: IR=20 -&gt; LOAD AX, [81]  (operando: MAR=07, MDR=81)</t>
  </si>
  <si>
    <t>[Paso 87] EXECUTE: MAR=81, MDR=03 (leido de memoria)</t>
  </si>
  <si>
    <t>[Paso 88] STORE: AX &lt;- 03</t>
  </si>
  <si>
    <t>[Paso 89] FETCH: MAR=08, MDR=60 -&gt; IR=60, PC=09</t>
  </si>
  <si>
    <t>[Paso 90] DECODE: IR=60 -&gt; CMP AX, 00  (operando: MAR=09, MDR=00)</t>
  </si>
  <si>
    <t>[Paso 91] EXECUTE: ALU CMP = 03    ZF=0  CF=0  SF=0</t>
  </si>
  <si>
    <t>[Paso 92] STORE: (no guarda nada)</t>
  </si>
  <si>
    <t>[Paso 93] FETCH: MAR=0A, MDR=F1 -&gt; IR=F1, PC=0B</t>
  </si>
  <si>
    <t>[Paso 94] DECODE: IR=F1 -&gt; JZ 16  (operando: MAR=0B, MDR=16)</t>
  </si>
  <si>
    <t>[Paso 95] EXECUTE: ZF=0 -&gt; no salta</t>
  </si>
  <si>
    <t>[Paso 96] STORE: (no guarda nada)</t>
  </si>
  <si>
    <t>[Paso 97] FETCH: MAR=0C, MDR=52 -&gt; IR=52, PC=0D</t>
  </si>
  <si>
    <t>[Paso 98] DECODE: IR=52 -&gt; DEC AX</t>
  </si>
  <si>
    <t>[Paso 99] EXECUTE: ALU DEC = 02    ZF=0  CF=0  SF=0</t>
  </si>
  <si>
    <t>[Paso 100] STORE: AX &lt;- 02</t>
  </si>
  <si>
    <t>[Paso 101] FETCH: MAR=0D, MDR=22 -&gt; IR=22, PC=0E</t>
  </si>
  <si>
    <t>[Paso 102] DECODE: IR=22 -&gt; STORE [81], AX  (operando: MAR=0E, MDR=81)</t>
  </si>
  <si>
    <t>[Paso 103] EXECUTE: dato a guardar = 02</t>
  </si>
  <si>
    <t>[Paso 104] STORE: MAR=81, MDR=02 -&gt; RAM[81]=02</t>
  </si>
  <si>
    <t>[Paso 105] FETCH: MAR=0F, MDR=20 -&gt; IR=20, PC=10</t>
  </si>
  <si>
    <t>[Paso 106] DECODE: IR=20 -&gt; LOAD AX, [82]  (operando: MAR=10, MDR=82)</t>
  </si>
  <si>
    <t>[Paso 107] EXECUTE: MAR=82, MDR=0E (leido de memoria)</t>
  </si>
  <si>
    <t>[Paso 108] STORE: AX &lt;- 0E</t>
  </si>
  <si>
    <t>[Paso 109] FETCH: MAR=11, MDR=32 -&gt; IR=32, PC=12</t>
  </si>
  <si>
    <t>[Paso 110] DECODE: IR=32 -&gt; ADD AX, BX</t>
  </si>
  <si>
    <t>[Paso 111] EXECUTE: ALU ADD = 15    ZF=0  CF=0  SF=0</t>
  </si>
  <si>
    <t>[Paso 112] STORE: AX &lt;- 15</t>
  </si>
  <si>
    <t>[Paso 113] FETCH: MAR=12, MDR=22 -&gt; IR=22, PC=13</t>
  </si>
  <si>
    <t>[Paso 114] DECODE: IR=22 -&gt; STORE [82], AX  (operando: MAR=13, MDR=82)</t>
  </si>
  <si>
    <t>[Paso 115] EXECUTE: dato a guardar = 15</t>
  </si>
  <si>
    <t>[Paso 116] STORE: MAR=82, MDR=15 -&gt; RAM[82]=15</t>
  </si>
  <si>
    <t>[Paso 117] FETCH: MAR=14, MDR=F0 -&gt; IR=F0, PC=15</t>
  </si>
  <si>
    <t>[Paso 118] DECODE: IR=F0 -&gt; JMP 06  (operando: MAR=15, MDR=06)</t>
  </si>
  <si>
    <t>[Paso 119] EXECUTE: PC=06 (salta)</t>
  </si>
  <si>
    <t>[Paso 120] STORE: (no guarda nada)</t>
  </si>
  <si>
    <t>[Paso 121] FETCH: MAR=06, MDR=20 -&gt; IR=20, PC=07</t>
  </si>
  <si>
    <t>[Paso 122] DECODE: IR=20 -&gt; LOAD AX, [81]  (operando: MAR=07, MDR=81)</t>
  </si>
  <si>
    <t>[Paso 123] EXECUTE: MAR=81, MDR=02 (leido de memoria)</t>
  </si>
  <si>
    <t>[Paso 124] STORE: AX &lt;- 02</t>
  </si>
  <si>
    <t>[Paso 125] FETCH: MAR=08, MDR=60 -&gt; IR=60, PC=09</t>
  </si>
  <si>
    <t>[Paso 126] DECODE: IR=60 -&gt; CMP AX, 00  (operando: MAR=09, MDR=00)</t>
  </si>
  <si>
    <t>[Paso 127] EXECUTE: ALU CMP = 02    ZF=0  CF=0  SF=0</t>
  </si>
  <si>
    <t>[Paso 128] STORE: (no guarda nada)</t>
  </si>
  <si>
    <t>[Paso 129] FETCH: MAR=0A, MDR=F1 -&gt; IR=F1, PC=0B</t>
  </si>
  <si>
    <t>[Paso 130] DECODE: IR=F1 -&gt; JZ 16  (operando: MAR=0B, MDR=16)</t>
  </si>
  <si>
    <t>[Paso 131] EXECUTE: ZF=0 -&gt; no salta</t>
  </si>
  <si>
    <t>[Paso 132] STORE: (no guarda nada)</t>
  </si>
  <si>
    <t>[Paso 133] FETCH: MAR=0C, MDR=52 -&gt; IR=52, PC=0D</t>
  </si>
  <si>
    <t>[Paso 134] DECODE: IR=52 -&gt; DEC AX</t>
  </si>
  <si>
    <t>[Paso 135] EXECUTE: ALU DEC = 01    ZF=0  CF=0  SF=0</t>
  </si>
  <si>
    <t>[Paso 136] STORE: AX &lt;- 01</t>
  </si>
  <si>
    <t>[Paso 137] FETCH: MAR=0D, MDR=22 -&gt; IR=22, PC=0E</t>
  </si>
  <si>
    <t>[Paso 138] DECODE: IR=22 -&gt; STORE [81], AX  (operando: MAR=0E, MDR=81)</t>
  </si>
  <si>
    <t>[Paso 139] EXECUTE: dato a guardar = 01</t>
  </si>
  <si>
    <t>[Paso 140] STORE: MAR=81, MDR=01 -&gt; RAM[81]=01</t>
  </si>
  <si>
    <t>[Paso 141] FETCH: MAR=0F, MDR=20 -&gt; IR=20, PC=10</t>
  </si>
  <si>
    <t>[Paso 142] DECODE: IR=20 -&gt; LOAD AX, [82]  (operando: MAR=10, MDR=82)</t>
  </si>
  <si>
    <t>[Paso 143] EXECUTE: MAR=82, MDR=15 (leido de memoria)</t>
  </si>
  <si>
    <t>[Paso 144] STORE: AX &lt;- 15</t>
  </si>
  <si>
    <t>[Paso 145] FETCH: MAR=11, MDR=32 -&gt; IR=32, PC=12</t>
  </si>
  <si>
    <t>[Paso 146] DECODE: IR=32 -&gt; ADD AX, BX</t>
  </si>
  <si>
    <t>[Paso 147] EXECUTE: ALU ADD = 1C    ZF=0  CF=0  SF=0</t>
  </si>
  <si>
    <t>[Paso 148] STORE: AX &lt;- 1C</t>
  </si>
  <si>
    <t>[Paso 149] FETCH: MAR=12, MDR=22 -&gt; IR=22, PC=13</t>
  </si>
  <si>
    <t>[Paso 150] DECODE: IR=22 -&gt; STORE [82], AX  (operando: MAR=13, MDR=82)</t>
  </si>
  <si>
    <t>[Paso 151] EXECUTE: dato a guardar = 1C</t>
  </si>
  <si>
    <t>[Paso 152] STORE: MAR=82, MDR=1C -&gt; RAM[82]=1C</t>
  </si>
  <si>
    <t>[Paso 153] FETCH: MAR=14, MDR=F0 -&gt; IR=F0, PC=15</t>
  </si>
  <si>
    <t>[Paso 154] DECODE: IR=F0 -&gt; JMP 06  (operando: MAR=15, MDR=06)</t>
  </si>
  <si>
    <t>[Paso 155] EXECUTE: PC=06 (salta)</t>
  </si>
  <si>
    <t>[Paso 156] STORE: (no guarda nada)</t>
  </si>
  <si>
    <t>[Paso 157] FETCH: MAR=06, MDR=20 -&gt; IR=20, PC=07</t>
  </si>
  <si>
    <t>[Paso 158] DECODE: IR=20 -&gt; LOAD AX, [81]  (operando: MAR=07, MDR=81)</t>
  </si>
  <si>
    <t>[Paso 159] EXECUTE: MAR=81, MDR=01 (leido de memoria)</t>
  </si>
  <si>
    <t>[Paso 160] STORE: AX &lt;- 01</t>
  </si>
  <si>
    <t>[Paso 161] FETCH: MAR=08, MDR=60 -&gt; IR=60, PC=09</t>
  </si>
  <si>
    <t>[Paso 162] DECODE: IR=60 -&gt; CMP AX, 00  (operando: MAR=09, MDR=00)</t>
  </si>
  <si>
    <t>[Paso 163] EXECUTE: ALU CMP = 01    ZF=0  CF=0  SF=0</t>
  </si>
  <si>
    <t>[Paso 164] STORE: (no guarda nada)</t>
  </si>
  <si>
    <t>[Paso 165] FETCH: MAR=0A, MDR=F1 -&gt; IR=F1, PC=0B</t>
  </si>
  <si>
    <t>[Paso 166] DECODE: IR=F1 -&gt; JZ 16  (operando: MAR=0B, MDR=16)</t>
  </si>
  <si>
    <t>[Paso 167] EXECUTE: ZF=0 -&gt; no salta</t>
  </si>
  <si>
    <t>[Paso 168] STORE: (no guarda nada)</t>
  </si>
  <si>
    <t>[Paso 169] FETCH: MAR=0C, MDR=52 -&gt; IR=52, PC=0D</t>
  </si>
  <si>
    <t>[Paso 170] DECODE: IR=52 -&gt; DEC AX</t>
  </si>
  <si>
    <t>[Paso 171] EXECUTE: ALU DEC = 00    ZF=1  CF=0  SF=0</t>
  </si>
  <si>
    <t>[Paso 172] STORE: AX &lt;- 00</t>
  </si>
  <si>
    <t>[Paso 173] FETCH: MAR=0D, MDR=22 -&gt; IR=22, PC=0E</t>
  </si>
  <si>
    <t>[Paso 174] DECODE: IR=22 -&gt; STORE [81], AX  (operando: MAR=0E, MDR=81)</t>
  </si>
  <si>
    <t>[Paso 175] EXECUTE: dato a guardar = 00</t>
  </si>
  <si>
    <t>[Paso 176] STORE: MAR=81, MDR=00 -&gt; RAM[81]=00</t>
  </si>
  <si>
    <t>[Paso 177] FETCH: MAR=0F, MDR=20 -&gt; IR=20, PC=10</t>
  </si>
  <si>
    <t>[Paso 178] DECODE: IR=20 -&gt; LOAD AX, [82]  (operando: MAR=10, MDR=82)</t>
  </si>
  <si>
    <t>[Paso 179] EXECUTE: MAR=82, MDR=1C (leido de memoria)</t>
  </si>
  <si>
    <t>[Paso 180] STORE: AX &lt;- 1C</t>
  </si>
  <si>
    <t>[Paso 181] FETCH: MAR=11, MDR=32 -&gt; IR=32, PC=12</t>
  </si>
  <si>
    <t>[Paso 182] DECODE: IR=32 -&gt; ADD AX, BX</t>
  </si>
  <si>
    <t>[Paso 183] EXECUTE: ALU ADD = 23    ZF=0  CF=0  SF=0</t>
  </si>
  <si>
    <t>[Paso 184] STORE: AX &lt;- 23</t>
  </si>
  <si>
    <t>[Paso 185] FETCH: MAR=12, MDR=22 -&gt; IR=22, PC=13</t>
  </si>
  <si>
    <t>[Paso 186] DECODE: IR=22 -&gt; STORE [82], AX  (operando: MAR=13, MDR=82)</t>
  </si>
  <si>
    <t>[Paso 187] EXECUTE: dato a guardar = 23</t>
  </si>
  <si>
    <t>[Paso 188] STORE: MAR=82, MDR=23 -&gt; RAM[82]=23</t>
  </si>
  <si>
    <t>[Paso 189] FETCH: MAR=14, MDR=F0 -&gt; IR=F0, PC=15</t>
  </si>
  <si>
    <t>[Paso 190] DECODE: IR=F0 -&gt; JMP 06  (operando: MAR=15, MDR=06)</t>
  </si>
  <si>
    <t>[Paso 191] EXECUTE: PC=06 (salta)</t>
  </si>
  <si>
    <t>[Paso 192] STORE: (no guarda nada)</t>
  </si>
  <si>
    <t>[Paso 193] FETCH: MAR=06, MDR=20 -&gt; IR=20, PC=07</t>
  </si>
  <si>
    <t>[Paso 194] DECODE: IR=20 -&gt; LOAD AX, [81]  (operando: MAR=07, MDR=81)</t>
  </si>
  <si>
    <t>[Paso 195] EXECUTE: MAR=81, MDR=00 (leido de memoria)</t>
  </si>
  <si>
    <t>[Paso 196] STORE: AX &lt;- 00</t>
  </si>
  <si>
    <t>[Paso 197] FETCH: MAR=08, MDR=60 -&gt; IR=60, PC=09</t>
  </si>
  <si>
    <t>[Paso 198] DECODE: IR=60 -&gt; CMP AX, 00  (operando: MAR=09, MDR=00)</t>
  </si>
  <si>
    <t>[Paso 199] EXECUTE: ALU CMP = 00    ZF=1  CF=0  SF=0</t>
  </si>
  <si>
    <t>[Paso 200] STORE: (no guarda nada)</t>
  </si>
  <si>
    <t>[Paso 201] FETCH: MAR=0A, MDR=F1 -&gt; IR=F1, PC=0B</t>
  </si>
  <si>
    <t>[Paso 202] DECODE: IR=F1 -&gt; JZ 16  (operando: MAR=0B, MDR=16)</t>
  </si>
  <si>
    <t>[Paso 203] EXECUTE: ZF=1 -&gt; PC=16 (salta)</t>
  </si>
  <si>
    <t>[Paso 204] STORE: (no guarda nada)</t>
  </si>
  <si>
    <t>[Paso 205] FETCH: MAR=16, MDR=00 -&gt; IR=00, PC=17</t>
  </si>
  <si>
    <t>[Paso 206] DECODE: IR=00 -&gt; HLT</t>
  </si>
  <si>
    <t>[Paso 207] EXECUTE: HLT -&gt; se detiene el reloj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</si>
</sst>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C8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0" borderId="0" xfId="0" applyFont="1"/>
    <xf numFmtId="49" fontId="0" fillId="0" borderId="0" xfId="0" applyNumberFormat="1"/>
    <xf numFmtId="49" fontId="1" fillId="0" borderId="0" xfId="0" applyNumberFormat="1" applyFont="1"/>
    <xf numFmtId="49" fontId="0" fillId="2" borderId="1" xfId="0" applyNumberForma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4" borderId="1" xfId="0" applyFill="1" applyBorder="1"/>
    <xf numFmtId="49" fontId="0" fillId="4" borderId="1" xfId="0" applyNumberFormat="1" applyFill="1" applyBorder="1"/>
    <xf numFmtId="0" fontId="0" fillId="0" borderId="1" xfId="0" applyBorder="1"/>
    <xf numFmtId="49" fontId="0" fillId="0" borderId="1" xfId="0" applyNumberFormat="1" applyBorder="1"/>
    <xf numFmtId="0" fontId="1" fillId="0" borderId="1" xfId="0" applyFont="1" applyBorder="1"/>
    <xf numFmtId="49" fontId="3" fillId="3" borderId="1" xfId="0" applyNumberFormat="1" applyFont="1" applyFill="1" applyBorder="1" applyAlignment="1">
      <alignment horizontal="center"/>
    </xf>
    <xf numFmtId="0" fontId="3" fillId="0" borderId="0" xfId="0" applyFont="1"/>
    <xf numFmtId="0" fontId="1" fillId="5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22860</xdr:rowOff>
        </xdr:from>
        <xdr:to>
          <xdr:col>4</xdr:col>
          <xdr:colOff>228600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22860</xdr:rowOff>
        </xdr:from>
        <xdr:to>
          <xdr:col>7</xdr:col>
          <xdr:colOff>198120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</xdr:row>
          <xdr:rowOff>22860</xdr:rowOff>
        </xdr:from>
        <xdr:to>
          <xdr:col>10</xdr:col>
          <xdr:colOff>167640</xdr:colOff>
          <xdr:row>1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1</xdr:row>
          <xdr:rowOff>22860</xdr:rowOff>
        </xdr:from>
        <xdr:to>
          <xdr:col>13</xdr:col>
          <xdr:colOff>137160</xdr:colOff>
          <xdr:row>1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205740</xdr:colOff>
          <xdr:row>1</xdr:row>
          <xdr:rowOff>22860</xdr:rowOff>
        </xdr:from>
        <xdr:to>
          <xdr:col>17</xdr:col>
          <xdr:colOff>289560</xdr:colOff>
          <xdr:row>1</xdr:row>
          <xdr:rowOff>304800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E32F-0FDF-41B6-9F3E-0ED3B0B9C071}">
  <sheetPr codeName="Hoja1"/>
  <dimension ref="A1:W230"/>
  <sheetViews>
    <sheetView tabSelected="1" zoomScaleNormal="100" workbookViewId="0">
      <selection activeCell="V2" sqref="V2"/>
    </sheetView>
  </sheetViews>
  <sheetFormatPr baseColWidth="10" defaultRowHeight="14.4" x14ac:dyDescent="0.3"/>
  <cols>
    <col min="3" max="18" width="4.77734375" customWidth="1"/>
    <col min="20" max="20" width="10.77734375" customWidth="1"/>
    <col min="22" max="22" width="10.77734375" customWidth="1"/>
  </cols>
  <sheetData>
    <row r="1" spans="1:23" ht="21" x14ac:dyDescent="0.4">
      <c r="A1" s="1" t="s">
        <v>0</v>
      </c>
    </row>
    <row r="2" spans="1:23" ht="25.95" customHeight="1" x14ac:dyDescent="0.3">
      <c r="T2" s="2" t="s">
        <v>63</v>
      </c>
      <c r="U2" s="7">
        <v>300</v>
      </c>
      <c r="V2" s="13"/>
    </row>
    <row r="3" spans="1:23" x14ac:dyDescent="0.3">
      <c r="C3" s="2" t="s">
        <v>1</v>
      </c>
      <c r="T3" s="2" t="s">
        <v>36</v>
      </c>
    </row>
    <row r="4" spans="1:23" x14ac:dyDescent="0.3">
      <c r="B4" s="4"/>
      <c r="C4" s="4" t="s">
        <v>2</v>
      </c>
      <c r="D4" s="4" t="s">
        <v>4</v>
      </c>
      <c r="E4" s="4" t="s">
        <v>6</v>
      </c>
      <c r="F4" s="4" t="s">
        <v>8</v>
      </c>
      <c r="G4" s="4" t="s">
        <v>10</v>
      </c>
      <c r="H4" s="4" t="s">
        <v>12</v>
      </c>
      <c r="I4" s="4" t="s">
        <v>14</v>
      </c>
      <c r="J4" s="4" t="s">
        <v>16</v>
      </c>
      <c r="K4" s="4" t="s">
        <v>18</v>
      </c>
      <c r="L4" s="4" t="s">
        <v>20</v>
      </c>
      <c r="M4" s="4" t="s">
        <v>22</v>
      </c>
      <c r="N4" s="4" t="s">
        <v>24</v>
      </c>
      <c r="O4" s="4" t="s">
        <v>26</v>
      </c>
      <c r="P4" s="4" t="s">
        <v>28</v>
      </c>
      <c r="Q4" s="4" t="s">
        <v>30</v>
      </c>
      <c r="R4" s="4" t="s">
        <v>32</v>
      </c>
      <c r="T4" s="2" t="s">
        <v>37</v>
      </c>
      <c r="U4" s="2" t="s">
        <v>38</v>
      </c>
      <c r="V4" s="2" t="s">
        <v>39</v>
      </c>
      <c r="W4" s="2" t="s">
        <v>40</v>
      </c>
    </row>
    <row r="5" spans="1:23" x14ac:dyDescent="0.3">
      <c r="A5" t="s">
        <v>34</v>
      </c>
      <c r="B5" s="4" t="s">
        <v>3</v>
      </c>
      <c r="C5" s="5" t="s">
        <v>5</v>
      </c>
      <c r="D5" s="5" t="s">
        <v>3</v>
      </c>
      <c r="E5" s="5" t="s">
        <v>64</v>
      </c>
      <c r="F5" s="5" t="s">
        <v>19</v>
      </c>
      <c r="G5" s="5" t="s">
        <v>65</v>
      </c>
      <c r="H5" s="5" t="s">
        <v>66</v>
      </c>
      <c r="I5" s="5" t="s">
        <v>7</v>
      </c>
      <c r="J5" s="5" t="s">
        <v>67</v>
      </c>
      <c r="K5" s="5" t="s">
        <v>15</v>
      </c>
      <c r="L5" s="5" t="s">
        <v>3</v>
      </c>
      <c r="M5" s="5" t="s">
        <v>59</v>
      </c>
      <c r="N5" s="5" t="s">
        <v>68</v>
      </c>
      <c r="O5" s="5" t="s">
        <v>57</v>
      </c>
      <c r="P5" s="5" t="s">
        <v>65</v>
      </c>
      <c r="Q5" s="5" t="s">
        <v>67</v>
      </c>
      <c r="R5" s="5" t="s">
        <v>7</v>
      </c>
      <c r="T5" s="7" t="s">
        <v>41</v>
      </c>
      <c r="U5" s="8" t="s">
        <v>72</v>
      </c>
      <c r="V5" s="7" t="str">
        <f t="shared" ref="V5:V10" si="0">HEX2BIN(U5,8)</f>
        <v>00010111</v>
      </c>
      <c r="W5" s="7">
        <f t="shared" ref="W5:W10" si="1">HEX2DEC(U5)</f>
        <v>23</v>
      </c>
    </row>
    <row r="6" spans="1:23" x14ac:dyDescent="0.3">
      <c r="B6" s="4" t="s">
        <v>5</v>
      </c>
      <c r="C6" s="5" t="s">
        <v>66</v>
      </c>
      <c r="D6" s="5" t="s">
        <v>69</v>
      </c>
      <c r="E6" s="5" t="s">
        <v>65</v>
      </c>
      <c r="F6" s="5" t="s">
        <v>66</v>
      </c>
      <c r="G6" s="5" t="s">
        <v>33</v>
      </c>
      <c r="H6" s="5" t="s">
        <v>70</v>
      </c>
      <c r="I6" s="5" t="s">
        <v>3</v>
      </c>
      <c r="J6" s="5" t="s">
        <v>3</v>
      </c>
      <c r="K6" s="5" t="s">
        <v>3</v>
      </c>
      <c r="L6" s="5" t="s">
        <v>3</v>
      </c>
      <c r="M6" s="5" t="s">
        <v>3</v>
      </c>
      <c r="N6" s="5" t="s">
        <v>3</v>
      </c>
      <c r="O6" s="5" t="s">
        <v>3</v>
      </c>
      <c r="P6" s="5" t="s">
        <v>3</v>
      </c>
      <c r="Q6" s="5" t="s">
        <v>3</v>
      </c>
      <c r="R6" s="5" t="s">
        <v>3</v>
      </c>
      <c r="T6" s="7" t="s">
        <v>42</v>
      </c>
      <c r="U6" s="8" t="s">
        <v>3</v>
      </c>
      <c r="V6" s="7" t="str">
        <f t="shared" si="0"/>
        <v>00000000</v>
      </c>
      <c r="W6" s="7">
        <f t="shared" si="1"/>
        <v>0</v>
      </c>
    </row>
    <row r="7" spans="1:23" x14ac:dyDescent="0.3">
      <c r="B7" s="4" t="s">
        <v>7</v>
      </c>
      <c r="C7" s="5" t="s">
        <v>3</v>
      </c>
      <c r="D7" s="5" t="s">
        <v>3</v>
      </c>
      <c r="E7" s="5" t="s">
        <v>3</v>
      </c>
      <c r="F7" s="5" t="s">
        <v>3</v>
      </c>
      <c r="G7" s="5" t="s">
        <v>3</v>
      </c>
      <c r="H7" s="5" t="s">
        <v>3</v>
      </c>
      <c r="I7" s="5" t="s">
        <v>3</v>
      </c>
      <c r="J7" s="5" t="s">
        <v>3</v>
      </c>
      <c r="K7" s="5" t="s">
        <v>3</v>
      </c>
      <c r="L7" s="5" t="s">
        <v>3</v>
      </c>
      <c r="M7" s="5" t="s">
        <v>3</v>
      </c>
      <c r="N7" s="5" t="s">
        <v>3</v>
      </c>
      <c r="O7" s="5" t="s">
        <v>3</v>
      </c>
      <c r="P7" s="5" t="s">
        <v>3</v>
      </c>
      <c r="Q7" s="5" t="s">
        <v>3</v>
      </c>
      <c r="R7" s="5" t="s">
        <v>3</v>
      </c>
      <c r="T7" s="7" t="s">
        <v>43</v>
      </c>
      <c r="U7" s="8" t="s">
        <v>68</v>
      </c>
      <c r="V7" s="7" t="str">
        <f t="shared" si="0"/>
        <v>00010110</v>
      </c>
      <c r="W7" s="7">
        <f t="shared" si="1"/>
        <v>22</v>
      </c>
    </row>
    <row r="8" spans="1:23" x14ac:dyDescent="0.3">
      <c r="B8" s="4" t="s">
        <v>9</v>
      </c>
      <c r="C8" s="5" t="s">
        <v>3</v>
      </c>
      <c r="D8" s="5" t="s">
        <v>3</v>
      </c>
      <c r="E8" s="5" t="s">
        <v>3</v>
      </c>
      <c r="F8" s="5" t="s">
        <v>3</v>
      </c>
      <c r="G8" s="5" t="s">
        <v>3</v>
      </c>
      <c r="H8" s="5" t="s">
        <v>3</v>
      </c>
      <c r="I8" s="5" t="s">
        <v>3</v>
      </c>
      <c r="J8" s="5" t="s">
        <v>3</v>
      </c>
      <c r="K8" s="5" t="s">
        <v>3</v>
      </c>
      <c r="L8" s="5" t="s">
        <v>3</v>
      </c>
      <c r="M8" s="5" t="s">
        <v>3</v>
      </c>
      <c r="N8" s="5" t="s">
        <v>3</v>
      </c>
      <c r="O8" s="5" t="s">
        <v>3</v>
      </c>
      <c r="P8" s="5" t="s">
        <v>3</v>
      </c>
      <c r="Q8" s="5" t="s">
        <v>3</v>
      </c>
      <c r="R8" s="5" t="s">
        <v>3</v>
      </c>
      <c r="T8" s="7" t="s">
        <v>44</v>
      </c>
      <c r="U8" s="8" t="s">
        <v>3</v>
      </c>
      <c r="V8" s="7" t="str">
        <f t="shared" si="0"/>
        <v>00000000</v>
      </c>
      <c r="W8" s="7">
        <f t="shared" si="1"/>
        <v>0</v>
      </c>
    </row>
    <row r="9" spans="1:23" x14ac:dyDescent="0.3">
      <c r="B9" s="4" t="s">
        <v>11</v>
      </c>
      <c r="C9" s="5" t="s">
        <v>3</v>
      </c>
      <c r="D9" s="5" t="s">
        <v>3</v>
      </c>
      <c r="E9" s="5" t="s">
        <v>3</v>
      </c>
      <c r="F9" s="5" t="s">
        <v>3</v>
      </c>
      <c r="G9" s="5" t="s">
        <v>3</v>
      </c>
      <c r="H9" s="5" t="s">
        <v>3</v>
      </c>
      <c r="I9" s="5" t="s">
        <v>3</v>
      </c>
      <c r="J9" s="5" t="s">
        <v>3</v>
      </c>
      <c r="K9" s="5" t="s">
        <v>3</v>
      </c>
      <c r="L9" s="5" t="s">
        <v>3</v>
      </c>
      <c r="M9" s="5" t="s">
        <v>3</v>
      </c>
      <c r="N9" s="5" t="s">
        <v>3</v>
      </c>
      <c r="O9" s="5" t="s">
        <v>3</v>
      </c>
      <c r="P9" s="5" t="s">
        <v>3</v>
      </c>
      <c r="Q9" s="5" t="s">
        <v>3</v>
      </c>
      <c r="R9" s="5" t="s">
        <v>3</v>
      </c>
      <c r="T9" s="7" t="s">
        <v>45</v>
      </c>
      <c r="U9" s="8" t="s">
        <v>3</v>
      </c>
      <c r="V9" s="7" t="str">
        <f t="shared" si="0"/>
        <v>00000000</v>
      </c>
      <c r="W9" s="7">
        <f t="shared" si="1"/>
        <v>0</v>
      </c>
    </row>
    <row r="10" spans="1:23" x14ac:dyDescent="0.3">
      <c r="B10" s="4" t="s">
        <v>13</v>
      </c>
      <c r="C10" s="5" t="s">
        <v>3</v>
      </c>
      <c r="D10" s="5" t="s">
        <v>3</v>
      </c>
      <c r="E10" s="5" t="s">
        <v>3</v>
      </c>
      <c r="F10" s="5" t="s">
        <v>3</v>
      </c>
      <c r="G10" s="5" t="s">
        <v>3</v>
      </c>
      <c r="H10" s="5" t="s">
        <v>3</v>
      </c>
      <c r="I10" s="5" t="s">
        <v>3</v>
      </c>
      <c r="J10" s="5" t="s">
        <v>3</v>
      </c>
      <c r="K10" s="5" t="s">
        <v>3</v>
      </c>
      <c r="L10" s="5" t="s">
        <v>3</v>
      </c>
      <c r="M10" s="5" t="s">
        <v>3</v>
      </c>
      <c r="N10" s="5" t="s">
        <v>3</v>
      </c>
      <c r="O10" s="5" t="s">
        <v>3</v>
      </c>
      <c r="P10" s="5" t="s">
        <v>3</v>
      </c>
      <c r="Q10" s="5" t="s">
        <v>3</v>
      </c>
      <c r="R10" s="5" t="s">
        <v>3</v>
      </c>
      <c r="T10" s="7" t="s">
        <v>46</v>
      </c>
      <c r="U10" s="8" t="s">
        <v>71</v>
      </c>
      <c r="V10" s="7" t="str">
        <f t="shared" si="0"/>
        <v>00000111</v>
      </c>
      <c r="W10" s="7">
        <f t="shared" si="1"/>
        <v>7</v>
      </c>
    </row>
    <row r="11" spans="1:23" x14ac:dyDescent="0.3">
      <c r="B11" s="4" t="s">
        <v>15</v>
      </c>
      <c r="C11" s="5" t="s">
        <v>3</v>
      </c>
      <c r="D11" s="5" t="s">
        <v>3</v>
      </c>
      <c r="E11" s="5" t="s">
        <v>3</v>
      </c>
      <c r="F11" s="5" t="s">
        <v>3</v>
      </c>
      <c r="G11" s="5" t="s">
        <v>3</v>
      </c>
      <c r="H11" s="5" t="s">
        <v>3</v>
      </c>
      <c r="I11" s="5" t="s">
        <v>3</v>
      </c>
      <c r="J11" s="5" t="s">
        <v>3</v>
      </c>
      <c r="K11" s="5" t="s">
        <v>3</v>
      </c>
      <c r="L11" s="5" t="s">
        <v>3</v>
      </c>
      <c r="M11" s="5" t="s">
        <v>3</v>
      </c>
      <c r="N11" s="5" t="s">
        <v>3</v>
      </c>
      <c r="O11" s="5" t="s">
        <v>3</v>
      </c>
      <c r="P11" s="5" t="s">
        <v>3</v>
      </c>
      <c r="Q11" s="5" t="s">
        <v>3</v>
      </c>
      <c r="R11" s="5" t="s">
        <v>3</v>
      </c>
      <c r="U11" s="3"/>
    </row>
    <row r="12" spans="1:23" x14ac:dyDescent="0.3">
      <c r="B12" s="4" t="s">
        <v>17</v>
      </c>
      <c r="C12" s="5" t="s">
        <v>3</v>
      </c>
      <c r="D12" s="5" t="s">
        <v>3</v>
      </c>
      <c r="E12" s="5" t="s">
        <v>3</v>
      </c>
      <c r="F12" s="5" t="s">
        <v>3</v>
      </c>
      <c r="G12" s="5" t="s">
        <v>3</v>
      </c>
      <c r="H12" s="5" t="s">
        <v>3</v>
      </c>
      <c r="I12" s="5" t="s">
        <v>3</v>
      </c>
      <c r="J12" s="5" t="s">
        <v>3</v>
      </c>
      <c r="K12" s="5" t="s">
        <v>3</v>
      </c>
      <c r="L12" s="5" t="s">
        <v>3</v>
      </c>
      <c r="M12" s="5" t="s">
        <v>3</v>
      </c>
      <c r="N12" s="5" t="s">
        <v>3</v>
      </c>
      <c r="O12" s="5" t="s">
        <v>3</v>
      </c>
      <c r="P12" s="5" t="s">
        <v>3</v>
      </c>
      <c r="Q12" s="5" t="s">
        <v>3</v>
      </c>
      <c r="R12" s="5" t="s">
        <v>3</v>
      </c>
      <c r="T12" s="2" t="s">
        <v>47</v>
      </c>
      <c r="U12" s="3"/>
    </row>
    <row r="13" spans="1:23" x14ac:dyDescent="0.3">
      <c r="A13" t="s">
        <v>35</v>
      </c>
      <c r="B13" s="4" t="s">
        <v>19</v>
      </c>
      <c r="C13" s="6" t="s">
        <v>71</v>
      </c>
      <c r="D13" s="6" t="s">
        <v>3</v>
      </c>
      <c r="E13" s="6" t="s">
        <v>58</v>
      </c>
      <c r="F13" s="6" t="s">
        <v>3</v>
      </c>
      <c r="G13" s="6" t="s">
        <v>3</v>
      </c>
      <c r="H13" s="6" t="s">
        <v>3</v>
      </c>
      <c r="I13" s="6" t="s">
        <v>3</v>
      </c>
      <c r="J13" s="6" t="s">
        <v>3</v>
      </c>
      <c r="K13" s="6" t="s">
        <v>3</v>
      </c>
      <c r="L13" s="6" t="s">
        <v>3</v>
      </c>
      <c r="M13" s="6" t="s">
        <v>3</v>
      </c>
      <c r="N13" s="6" t="s">
        <v>3</v>
      </c>
      <c r="O13" s="6" t="s">
        <v>3</v>
      </c>
      <c r="P13" s="6" t="s">
        <v>3</v>
      </c>
      <c r="Q13" s="6" t="s">
        <v>3</v>
      </c>
      <c r="R13" s="6" t="s">
        <v>3</v>
      </c>
      <c r="T13" s="7" t="s">
        <v>48</v>
      </c>
      <c r="U13" s="8" t="s">
        <v>4</v>
      </c>
    </row>
    <row r="14" spans="1:23" x14ac:dyDescent="0.3">
      <c r="B14" s="4" t="s">
        <v>21</v>
      </c>
      <c r="C14" s="6" t="s">
        <v>3</v>
      </c>
      <c r="D14" s="6" t="s">
        <v>3</v>
      </c>
      <c r="E14" s="6" t="s">
        <v>3</v>
      </c>
      <c r="F14" s="6" t="s">
        <v>3</v>
      </c>
      <c r="G14" s="6" t="s">
        <v>3</v>
      </c>
      <c r="H14" s="6" t="s">
        <v>3</v>
      </c>
      <c r="I14" s="6" t="s">
        <v>3</v>
      </c>
      <c r="J14" s="6" t="s">
        <v>3</v>
      </c>
      <c r="K14" s="6" t="s">
        <v>3</v>
      </c>
      <c r="L14" s="12" t="s">
        <v>3</v>
      </c>
      <c r="M14" s="6" t="s">
        <v>3</v>
      </c>
      <c r="N14" s="6" t="s">
        <v>3</v>
      </c>
      <c r="O14" s="6" t="s">
        <v>3</v>
      </c>
      <c r="P14" s="6" t="s">
        <v>3</v>
      </c>
      <c r="Q14" s="6" t="s">
        <v>3</v>
      </c>
      <c r="R14" s="6" t="s">
        <v>3</v>
      </c>
      <c r="T14" s="7" t="s">
        <v>49</v>
      </c>
      <c r="U14" s="8" t="s">
        <v>2</v>
      </c>
    </row>
    <row r="15" spans="1:23" x14ac:dyDescent="0.3">
      <c r="B15" s="4" t="s">
        <v>23</v>
      </c>
      <c r="C15" s="6" t="s">
        <v>3</v>
      </c>
      <c r="D15" s="6" t="s">
        <v>3</v>
      </c>
      <c r="E15" s="6" t="s">
        <v>3</v>
      </c>
      <c r="F15" s="6" t="s">
        <v>3</v>
      </c>
      <c r="G15" s="6" t="s">
        <v>3</v>
      </c>
      <c r="H15" s="6" t="s">
        <v>3</v>
      </c>
      <c r="I15" s="6" t="s">
        <v>3</v>
      </c>
      <c r="J15" s="6" t="s">
        <v>3</v>
      </c>
      <c r="K15" s="6" t="s">
        <v>3</v>
      </c>
      <c r="L15" s="6" t="s">
        <v>3</v>
      </c>
      <c r="M15" s="6" t="s">
        <v>3</v>
      </c>
      <c r="N15" s="6" t="s">
        <v>3</v>
      </c>
      <c r="O15" s="6" t="s">
        <v>3</v>
      </c>
      <c r="P15" s="6" t="s">
        <v>3</v>
      </c>
      <c r="Q15" s="6" t="s">
        <v>3</v>
      </c>
      <c r="R15" s="6" t="s">
        <v>3</v>
      </c>
      <c r="T15" s="7" t="s">
        <v>50</v>
      </c>
      <c r="U15" s="8" t="s">
        <v>2</v>
      </c>
    </row>
    <row r="16" spans="1:23" x14ac:dyDescent="0.3">
      <c r="B16" s="4" t="s">
        <v>25</v>
      </c>
      <c r="C16" s="6" t="s">
        <v>3</v>
      </c>
      <c r="D16" s="6" t="s">
        <v>3</v>
      </c>
      <c r="E16" s="6" t="s">
        <v>3</v>
      </c>
      <c r="F16" s="6" t="s">
        <v>3</v>
      </c>
      <c r="G16" s="6" t="s">
        <v>3</v>
      </c>
      <c r="H16" s="6" t="s">
        <v>3</v>
      </c>
      <c r="I16" s="6" t="s">
        <v>3</v>
      </c>
      <c r="J16" s="6" t="s">
        <v>3</v>
      </c>
      <c r="K16" s="6" t="s">
        <v>3</v>
      </c>
      <c r="L16" s="6" t="s">
        <v>3</v>
      </c>
      <c r="M16" s="6" t="s">
        <v>3</v>
      </c>
      <c r="N16" s="6" t="s">
        <v>3</v>
      </c>
      <c r="O16" s="6" t="s">
        <v>3</v>
      </c>
      <c r="P16" s="6" t="s">
        <v>3</v>
      </c>
      <c r="Q16" s="6" t="s">
        <v>3</v>
      </c>
      <c r="R16" s="6" t="s">
        <v>3</v>
      </c>
    </row>
    <row r="17" spans="2:21" x14ac:dyDescent="0.3">
      <c r="B17" s="4" t="s">
        <v>27</v>
      </c>
      <c r="C17" s="6" t="s">
        <v>3</v>
      </c>
      <c r="D17" s="6" t="s">
        <v>3</v>
      </c>
      <c r="E17" s="6" t="s">
        <v>3</v>
      </c>
      <c r="F17" s="6" t="s">
        <v>3</v>
      </c>
      <c r="G17" s="6" t="s">
        <v>3</v>
      </c>
      <c r="H17" s="6" t="s">
        <v>3</v>
      </c>
      <c r="I17" s="6" t="s">
        <v>3</v>
      </c>
      <c r="J17" s="6" t="s">
        <v>3</v>
      </c>
      <c r="K17" s="6" t="s">
        <v>3</v>
      </c>
      <c r="L17" s="6" t="s">
        <v>3</v>
      </c>
      <c r="M17" s="6" t="s">
        <v>3</v>
      </c>
      <c r="N17" s="6" t="s">
        <v>3</v>
      </c>
      <c r="O17" s="6" t="s">
        <v>3</v>
      </c>
      <c r="P17" s="6" t="s">
        <v>3</v>
      </c>
      <c r="Q17" s="6" t="s">
        <v>3</v>
      </c>
      <c r="R17" s="6" t="s">
        <v>3</v>
      </c>
      <c r="T17" s="2" t="s">
        <v>51</v>
      </c>
    </row>
    <row r="18" spans="2:21" x14ac:dyDescent="0.3">
      <c r="B18" s="4" t="s">
        <v>29</v>
      </c>
      <c r="C18" s="6" t="s">
        <v>3</v>
      </c>
      <c r="D18" s="6" t="s">
        <v>3</v>
      </c>
      <c r="E18" s="6" t="s">
        <v>3</v>
      </c>
      <c r="F18" s="6" t="s">
        <v>3</v>
      </c>
      <c r="G18" s="6" t="s">
        <v>3</v>
      </c>
      <c r="H18" s="6" t="s">
        <v>3</v>
      </c>
      <c r="I18" s="6" t="s">
        <v>3</v>
      </c>
      <c r="J18" s="6" t="s">
        <v>3</v>
      </c>
      <c r="K18" s="6" t="s">
        <v>3</v>
      </c>
      <c r="L18" s="6" t="s">
        <v>3</v>
      </c>
      <c r="M18" s="6" t="s">
        <v>3</v>
      </c>
      <c r="N18" s="6" t="s">
        <v>3</v>
      </c>
      <c r="O18" s="6" t="s">
        <v>3</v>
      </c>
      <c r="P18" s="6" t="s">
        <v>3</v>
      </c>
      <c r="Q18" s="6" t="s">
        <v>3</v>
      </c>
      <c r="R18" s="6" t="s">
        <v>3</v>
      </c>
      <c r="T18" s="9" t="s">
        <v>52</v>
      </c>
      <c r="U18" s="10" t="s">
        <v>60</v>
      </c>
    </row>
    <row r="19" spans="2:21" x14ac:dyDescent="0.3">
      <c r="B19" s="4" t="s">
        <v>31</v>
      </c>
      <c r="C19" s="6" t="s">
        <v>3</v>
      </c>
      <c r="D19" s="6" t="s">
        <v>3</v>
      </c>
      <c r="E19" s="6" t="s">
        <v>3</v>
      </c>
      <c r="F19" s="6" t="s">
        <v>3</v>
      </c>
      <c r="G19" s="6" t="s">
        <v>3</v>
      </c>
      <c r="H19" s="6" t="s">
        <v>3</v>
      </c>
      <c r="I19" s="6" t="s">
        <v>3</v>
      </c>
      <c r="J19" s="6" t="s">
        <v>3</v>
      </c>
      <c r="K19" s="6" t="s">
        <v>3</v>
      </c>
      <c r="L19" s="6" t="s">
        <v>3</v>
      </c>
      <c r="M19" s="6" t="s">
        <v>3</v>
      </c>
      <c r="N19" s="6" t="s">
        <v>3</v>
      </c>
      <c r="O19" s="6" t="s">
        <v>3</v>
      </c>
      <c r="P19" s="6" t="s">
        <v>3</v>
      </c>
      <c r="Q19" s="6" t="s">
        <v>3</v>
      </c>
      <c r="R19" s="6" t="s">
        <v>3</v>
      </c>
      <c r="T19" s="9" t="s">
        <v>38</v>
      </c>
      <c r="U19" s="10" t="s">
        <v>3</v>
      </c>
    </row>
    <row r="20" spans="2:21" x14ac:dyDescent="0.3">
      <c r="B20" s="4" t="s">
        <v>33</v>
      </c>
      <c r="C20" s="6" t="s">
        <v>3</v>
      </c>
      <c r="D20" s="6" t="s">
        <v>3</v>
      </c>
      <c r="E20" s="6" t="s">
        <v>3</v>
      </c>
      <c r="F20" s="6" t="s">
        <v>3</v>
      </c>
      <c r="G20" s="6" t="s">
        <v>3</v>
      </c>
      <c r="H20" s="6" t="s">
        <v>3</v>
      </c>
      <c r="I20" s="6" t="s">
        <v>3</v>
      </c>
      <c r="J20" s="6" t="s">
        <v>3</v>
      </c>
      <c r="K20" s="6" t="s">
        <v>3</v>
      </c>
      <c r="L20" s="6" t="s">
        <v>3</v>
      </c>
      <c r="M20" s="6" t="s">
        <v>3</v>
      </c>
      <c r="N20" s="6" t="s">
        <v>3</v>
      </c>
      <c r="O20" s="6" t="s">
        <v>3</v>
      </c>
      <c r="P20" s="6" t="s">
        <v>3</v>
      </c>
      <c r="Q20" s="6" t="s">
        <v>3</v>
      </c>
      <c r="R20" s="6" t="s">
        <v>3</v>
      </c>
      <c r="T20" s="9" t="s">
        <v>39</v>
      </c>
      <c r="U20" s="9" t="str">
        <f>HEX2BIN(U19,8)</f>
        <v>00000000</v>
      </c>
    </row>
    <row r="21" spans="2:21" x14ac:dyDescent="0.3">
      <c r="T21" s="9" t="s">
        <v>53</v>
      </c>
      <c r="U21" s="9">
        <f>HEX2DEC(U19)</f>
        <v>0</v>
      </c>
    </row>
    <row r="22" spans="2:21" x14ac:dyDescent="0.3">
      <c r="B22" s="13"/>
    </row>
    <row r="23" spans="2:21" x14ac:dyDescent="0.3">
      <c r="B23" s="2" t="s">
        <v>73</v>
      </c>
      <c r="T23" s="2" t="s">
        <v>54</v>
      </c>
    </row>
    <row r="24" spans="2:21" x14ac:dyDescent="0.3">
      <c r="B24" t="s">
        <v>280</v>
      </c>
      <c r="T24" s="9" t="s">
        <v>55</v>
      </c>
      <c r="U24" s="14" t="s">
        <v>62</v>
      </c>
    </row>
    <row r="25" spans="2:21" x14ac:dyDescent="0.3">
      <c r="B25" t="s">
        <v>279</v>
      </c>
      <c r="T25" s="9" t="s">
        <v>56</v>
      </c>
      <c r="U25" s="11" t="s">
        <v>61</v>
      </c>
    </row>
    <row r="26" spans="2:21" x14ac:dyDescent="0.3">
      <c r="B26" t="s">
        <v>278</v>
      </c>
    </row>
    <row r="27" spans="2:21" x14ac:dyDescent="0.3">
      <c r="B27" t="s">
        <v>277</v>
      </c>
    </row>
    <row r="28" spans="2:21" x14ac:dyDescent="0.3">
      <c r="B28" t="s">
        <v>276</v>
      </c>
    </row>
    <row r="29" spans="2:21" x14ac:dyDescent="0.3">
      <c r="B29" t="s">
        <v>275</v>
      </c>
    </row>
    <row r="30" spans="2:21" x14ac:dyDescent="0.3">
      <c r="B30" t="s">
        <v>274</v>
      </c>
    </row>
    <row r="31" spans="2:21" x14ac:dyDescent="0.3">
      <c r="B31" t="s">
        <v>273</v>
      </c>
    </row>
    <row r="32" spans="2:21" x14ac:dyDescent="0.3">
      <c r="B32" t="s">
        <v>272</v>
      </c>
    </row>
    <row r="33" spans="2:2" x14ac:dyDescent="0.3">
      <c r="B33" t="s">
        <v>271</v>
      </c>
    </row>
    <row r="34" spans="2:2" x14ac:dyDescent="0.3">
      <c r="B34" t="s">
        <v>270</v>
      </c>
    </row>
    <row r="35" spans="2:2" x14ac:dyDescent="0.3">
      <c r="B35" t="s">
        <v>269</v>
      </c>
    </row>
    <row r="36" spans="2:2" x14ac:dyDescent="0.3">
      <c r="B36" t="s">
        <v>268</v>
      </c>
    </row>
    <row r="37" spans="2:2" x14ac:dyDescent="0.3">
      <c r="B37" t="s">
        <v>267</v>
      </c>
    </row>
    <row r="38" spans="2:2" x14ac:dyDescent="0.3">
      <c r="B38" t="s">
        <v>266</v>
      </c>
    </row>
    <row r="39" spans="2:2" x14ac:dyDescent="0.3">
      <c r="B39" t="s">
        <v>265</v>
      </c>
    </row>
    <row r="40" spans="2:2" x14ac:dyDescent="0.3">
      <c r="B40" t="s">
        <v>264</v>
      </c>
    </row>
    <row r="41" spans="2:2" x14ac:dyDescent="0.3">
      <c r="B41" t="s">
        <v>263</v>
      </c>
    </row>
    <row r="42" spans="2:2" x14ac:dyDescent="0.3">
      <c r="B42" t="s">
        <v>262</v>
      </c>
    </row>
    <row r="43" spans="2:2" x14ac:dyDescent="0.3">
      <c r="B43" t="s">
        <v>261</v>
      </c>
    </row>
    <row r="44" spans="2:2" x14ac:dyDescent="0.3">
      <c r="B44" t="s">
        <v>260</v>
      </c>
    </row>
    <row r="45" spans="2:2" x14ac:dyDescent="0.3">
      <c r="B45" t="s">
        <v>259</v>
      </c>
    </row>
    <row r="46" spans="2:2" x14ac:dyDescent="0.3">
      <c r="B46" t="s">
        <v>258</v>
      </c>
    </row>
    <row r="47" spans="2:2" x14ac:dyDescent="0.3">
      <c r="B47" t="s">
        <v>257</v>
      </c>
    </row>
    <row r="48" spans="2:2" x14ac:dyDescent="0.3">
      <c r="B48" t="s">
        <v>256</v>
      </c>
    </row>
    <row r="49" spans="2:2" x14ac:dyDescent="0.3">
      <c r="B49" t="s">
        <v>255</v>
      </c>
    </row>
    <row r="50" spans="2:2" x14ac:dyDescent="0.3">
      <c r="B50" t="s">
        <v>254</v>
      </c>
    </row>
    <row r="51" spans="2:2" x14ac:dyDescent="0.3">
      <c r="B51" t="s">
        <v>253</v>
      </c>
    </row>
    <row r="52" spans="2:2" x14ac:dyDescent="0.3">
      <c r="B52" t="s">
        <v>252</v>
      </c>
    </row>
    <row r="53" spans="2:2" x14ac:dyDescent="0.3">
      <c r="B53" t="s">
        <v>251</v>
      </c>
    </row>
    <row r="54" spans="2:2" x14ac:dyDescent="0.3">
      <c r="B54" t="s">
        <v>250</v>
      </c>
    </row>
    <row r="55" spans="2:2" x14ac:dyDescent="0.3">
      <c r="B55" t="s">
        <v>249</v>
      </c>
    </row>
    <row r="56" spans="2:2" x14ac:dyDescent="0.3">
      <c r="B56" t="s">
        <v>248</v>
      </c>
    </row>
    <row r="57" spans="2:2" x14ac:dyDescent="0.3">
      <c r="B57" t="s">
        <v>247</v>
      </c>
    </row>
    <row r="58" spans="2:2" x14ac:dyDescent="0.3">
      <c r="B58" t="s">
        <v>246</v>
      </c>
    </row>
    <row r="59" spans="2:2" x14ac:dyDescent="0.3">
      <c r="B59" t="s">
        <v>245</v>
      </c>
    </row>
    <row r="60" spans="2:2" x14ac:dyDescent="0.3">
      <c r="B60" t="s">
        <v>244</v>
      </c>
    </row>
    <row r="61" spans="2:2" x14ac:dyDescent="0.3">
      <c r="B61" t="s">
        <v>243</v>
      </c>
    </row>
    <row r="62" spans="2:2" x14ac:dyDescent="0.3">
      <c r="B62" t="s">
        <v>242</v>
      </c>
    </row>
    <row r="63" spans="2:2" x14ac:dyDescent="0.3">
      <c r="B63" t="s">
        <v>241</v>
      </c>
    </row>
    <row r="64" spans="2:2" x14ac:dyDescent="0.3">
      <c r="B64" t="s">
        <v>240</v>
      </c>
    </row>
    <row r="65" spans="2:2" x14ac:dyDescent="0.3">
      <c r="B65" t="s">
        <v>239</v>
      </c>
    </row>
    <row r="66" spans="2:2" x14ac:dyDescent="0.3">
      <c r="B66" t="s">
        <v>238</v>
      </c>
    </row>
    <row r="67" spans="2:2" x14ac:dyDescent="0.3">
      <c r="B67" t="s">
        <v>237</v>
      </c>
    </row>
    <row r="68" spans="2:2" x14ac:dyDescent="0.3">
      <c r="B68" t="s">
        <v>236</v>
      </c>
    </row>
    <row r="69" spans="2:2" x14ac:dyDescent="0.3">
      <c r="B69" t="s">
        <v>235</v>
      </c>
    </row>
    <row r="70" spans="2:2" x14ac:dyDescent="0.3">
      <c r="B70" t="s">
        <v>234</v>
      </c>
    </row>
    <row r="71" spans="2:2" x14ac:dyDescent="0.3">
      <c r="B71" t="s">
        <v>233</v>
      </c>
    </row>
    <row r="72" spans="2:2" x14ac:dyDescent="0.3">
      <c r="B72" t="s">
        <v>232</v>
      </c>
    </row>
    <row r="73" spans="2:2" x14ac:dyDescent="0.3">
      <c r="B73" t="s">
        <v>231</v>
      </c>
    </row>
    <row r="74" spans="2:2" x14ac:dyDescent="0.3">
      <c r="B74" t="s">
        <v>230</v>
      </c>
    </row>
    <row r="75" spans="2:2" x14ac:dyDescent="0.3">
      <c r="B75" t="s">
        <v>229</v>
      </c>
    </row>
    <row r="76" spans="2:2" x14ac:dyDescent="0.3">
      <c r="B76" t="s">
        <v>228</v>
      </c>
    </row>
    <row r="77" spans="2:2" x14ac:dyDescent="0.3">
      <c r="B77" t="s">
        <v>227</v>
      </c>
    </row>
    <row r="78" spans="2:2" x14ac:dyDescent="0.3">
      <c r="B78" t="s">
        <v>226</v>
      </c>
    </row>
    <row r="79" spans="2:2" x14ac:dyDescent="0.3">
      <c r="B79" t="s">
        <v>225</v>
      </c>
    </row>
    <row r="80" spans="2:2" x14ac:dyDescent="0.3">
      <c r="B80" t="s">
        <v>224</v>
      </c>
    </row>
    <row r="81" spans="2:2" x14ac:dyDescent="0.3">
      <c r="B81" t="s">
        <v>223</v>
      </c>
    </row>
    <row r="82" spans="2:2" x14ac:dyDescent="0.3">
      <c r="B82" t="s">
        <v>222</v>
      </c>
    </row>
    <row r="83" spans="2:2" x14ac:dyDescent="0.3">
      <c r="B83" t="s">
        <v>221</v>
      </c>
    </row>
    <row r="84" spans="2:2" x14ac:dyDescent="0.3">
      <c r="B84" t="s">
        <v>220</v>
      </c>
    </row>
    <row r="85" spans="2:2" x14ac:dyDescent="0.3">
      <c r="B85" t="s">
        <v>219</v>
      </c>
    </row>
    <row r="86" spans="2:2" x14ac:dyDescent="0.3">
      <c r="B86" t="s">
        <v>218</v>
      </c>
    </row>
    <row r="87" spans="2:2" x14ac:dyDescent="0.3">
      <c r="B87" t="s">
        <v>217</v>
      </c>
    </row>
    <row r="88" spans="2:2" x14ac:dyDescent="0.3">
      <c r="B88" t="s">
        <v>216</v>
      </c>
    </row>
    <row r="89" spans="2:2" x14ac:dyDescent="0.3">
      <c r="B89" t="s">
        <v>215</v>
      </c>
    </row>
    <row r="90" spans="2:2" x14ac:dyDescent="0.3">
      <c r="B90" t="s">
        <v>214</v>
      </c>
    </row>
    <row r="91" spans="2:2" x14ac:dyDescent="0.3">
      <c r="B91" t="s">
        <v>213</v>
      </c>
    </row>
    <row r="92" spans="2:2" x14ac:dyDescent="0.3">
      <c r="B92" t="s">
        <v>212</v>
      </c>
    </row>
    <row r="93" spans="2:2" x14ac:dyDescent="0.3">
      <c r="B93" t="s">
        <v>211</v>
      </c>
    </row>
    <row r="94" spans="2:2" x14ac:dyDescent="0.3">
      <c r="B94" t="s">
        <v>210</v>
      </c>
    </row>
    <row r="95" spans="2:2" x14ac:dyDescent="0.3">
      <c r="B95" t="s">
        <v>209</v>
      </c>
    </row>
    <row r="96" spans="2:2" x14ac:dyDescent="0.3">
      <c r="B96" t="s">
        <v>208</v>
      </c>
    </row>
    <row r="97" spans="2:2" x14ac:dyDescent="0.3">
      <c r="B97" t="s">
        <v>207</v>
      </c>
    </row>
    <row r="98" spans="2:2" x14ac:dyDescent="0.3">
      <c r="B98" t="s">
        <v>206</v>
      </c>
    </row>
    <row r="99" spans="2:2" x14ac:dyDescent="0.3">
      <c r="B99" t="s">
        <v>205</v>
      </c>
    </row>
    <row r="100" spans="2:2" x14ac:dyDescent="0.3">
      <c r="B100" t="s">
        <v>204</v>
      </c>
    </row>
    <row r="101" spans="2:2" x14ac:dyDescent="0.3">
      <c r="B101" t="s">
        <v>203</v>
      </c>
    </row>
    <row r="102" spans="2:2" x14ac:dyDescent="0.3">
      <c r="B102" t="s">
        <v>202</v>
      </c>
    </row>
    <row r="103" spans="2:2" x14ac:dyDescent="0.3">
      <c r="B103" t="s">
        <v>201</v>
      </c>
    </row>
    <row r="104" spans="2:2" x14ac:dyDescent="0.3">
      <c r="B104" t="s">
        <v>200</v>
      </c>
    </row>
    <row r="105" spans="2:2" x14ac:dyDescent="0.3">
      <c r="B105" t="s">
        <v>199</v>
      </c>
    </row>
    <row r="106" spans="2:2" x14ac:dyDescent="0.3">
      <c r="B106" t="s">
        <v>198</v>
      </c>
    </row>
    <row r="107" spans="2:2" x14ac:dyDescent="0.3">
      <c r="B107" t="s">
        <v>197</v>
      </c>
    </row>
    <row r="108" spans="2:2" x14ac:dyDescent="0.3">
      <c r="B108" t="s">
        <v>196</v>
      </c>
    </row>
    <row r="109" spans="2:2" x14ac:dyDescent="0.3">
      <c r="B109" t="s">
        <v>195</v>
      </c>
    </row>
    <row r="110" spans="2:2" x14ac:dyDescent="0.3">
      <c r="B110" t="s">
        <v>194</v>
      </c>
    </row>
    <row r="111" spans="2:2" x14ac:dyDescent="0.3">
      <c r="B111" t="s">
        <v>193</v>
      </c>
    </row>
    <row r="112" spans="2:2" x14ac:dyDescent="0.3">
      <c r="B112" t="s">
        <v>192</v>
      </c>
    </row>
    <row r="113" spans="2:2" x14ac:dyDescent="0.3">
      <c r="B113" t="s">
        <v>191</v>
      </c>
    </row>
    <row r="114" spans="2:2" x14ac:dyDescent="0.3">
      <c r="B114" t="s">
        <v>190</v>
      </c>
    </row>
    <row r="115" spans="2:2" x14ac:dyDescent="0.3">
      <c r="B115" t="s">
        <v>189</v>
      </c>
    </row>
    <row r="116" spans="2:2" x14ac:dyDescent="0.3">
      <c r="B116" t="s">
        <v>188</v>
      </c>
    </row>
    <row r="117" spans="2:2" x14ac:dyDescent="0.3">
      <c r="B117" t="s">
        <v>187</v>
      </c>
    </row>
    <row r="118" spans="2:2" x14ac:dyDescent="0.3">
      <c r="B118" t="s">
        <v>186</v>
      </c>
    </row>
    <row r="119" spans="2:2" x14ac:dyDescent="0.3">
      <c r="B119" t="s">
        <v>185</v>
      </c>
    </row>
    <row r="120" spans="2:2" x14ac:dyDescent="0.3">
      <c r="B120" t="s">
        <v>184</v>
      </c>
    </row>
    <row r="121" spans="2:2" x14ac:dyDescent="0.3">
      <c r="B121" t="s">
        <v>183</v>
      </c>
    </row>
    <row r="122" spans="2:2" x14ac:dyDescent="0.3">
      <c r="B122" t="s">
        <v>182</v>
      </c>
    </row>
    <row r="123" spans="2:2" x14ac:dyDescent="0.3">
      <c r="B123" t="s">
        <v>181</v>
      </c>
    </row>
    <row r="124" spans="2:2" x14ac:dyDescent="0.3">
      <c r="B124" t="s">
        <v>180</v>
      </c>
    </row>
    <row r="125" spans="2:2" x14ac:dyDescent="0.3">
      <c r="B125" t="s">
        <v>179</v>
      </c>
    </row>
    <row r="126" spans="2:2" x14ac:dyDescent="0.3">
      <c r="B126" t="s">
        <v>178</v>
      </c>
    </row>
    <row r="127" spans="2:2" x14ac:dyDescent="0.3">
      <c r="B127" t="s">
        <v>177</v>
      </c>
    </row>
    <row r="128" spans="2:2" x14ac:dyDescent="0.3">
      <c r="B128" t="s">
        <v>176</v>
      </c>
    </row>
    <row r="129" spans="2:2" x14ac:dyDescent="0.3">
      <c r="B129" t="s">
        <v>175</v>
      </c>
    </row>
    <row r="130" spans="2:2" x14ac:dyDescent="0.3">
      <c r="B130" t="s">
        <v>174</v>
      </c>
    </row>
    <row r="131" spans="2:2" x14ac:dyDescent="0.3">
      <c r="B131" t="s">
        <v>173</v>
      </c>
    </row>
    <row r="132" spans="2:2" x14ac:dyDescent="0.3">
      <c r="B132" t="s">
        <v>172</v>
      </c>
    </row>
    <row r="133" spans="2:2" x14ac:dyDescent="0.3">
      <c r="B133" t="s">
        <v>171</v>
      </c>
    </row>
    <row r="134" spans="2:2" x14ac:dyDescent="0.3">
      <c r="B134" t="s">
        <v>170</v>
      </c>
    </row>
    <row r="135" spans="2:2" x14ac:dyDescent="0.3">
      <c r="B135" t="s">
        <v>169</v>
      </c>
    </row>
    <row r="136" spans="2:2" x14ac:dyDescent="0.3">
      <c r="B136" t="s">
        <v>168</v>
      </c>
    </row>
    <row r="137" spans="2:2" x14ac:dyDescent="0.3">
      <c r="B137" t="s">
        <v>167</v>
      </c>
    </row>
    <row r="138" spans="2:2" x14ac:dyDescent="0.3">
      <c r="B138" t="s">
        <v>166</v>
      </c>
    </row>
    <row r="139" spans="2:2" x14ac:dyDescent="0.3">
      <c r="B139" t="s">
        <v>165</v>
      </c>
    </row>
    <row r="140" spans="2:2" x14ac:dyDescent="0.3">
      <c r="B140" t="s">
        <v>164</v>
      </c>
    </row>
    <row r="141" spans="2:2" x14ac:dyDescent="0.3">
      <c r="B141" t="s">
        <v>163</v>
      </c>
    </row>
    <row r="142" spans="2:2" x14ac:dyDescent="0.3">
      <c r="B142" t="s">
        <v>162</v>
      </c>
    </row>
    <row r="143" spans="2:2" x14ac:dyDescent="0.3">
      <c r="B143" t="s">
        <v>161</v>
      </c>
    </row>
    <row r="144" spans="2:2" x14ac:dyDescent="0.3">
      <c r="B144" t="s">
        <v>160</v>
      </c>
    </row>
    <row r="145" spans="2:2" x14ac:dyDescent="0.3">
      <c r="B145" t="s">
        <v>159</v>
      </c>
    </row>
    <row r="146" spans="2:2" x14ac:dyDescent="0.3">
      <c r="B146" t="s">
        <v>158</v>
      </c>
    </row>
    <row r="147" spans="2:2" x14ac:dyDescent="0.3">
      <c r="B147" t="s">
        <v>157</v>
      </c>
    </row>
    <row r="148" spans="2:2" x14ac:dyDescent="0.3">
      <c r="B148" t="s">
        <v>156</v>
      </c>
    </row>
    <row r="149" spans="2:2" x14ac:dyDescent="0.3">
      <c r="B149" t="s">
        <v>155</v>
      </c>
    </row>
    <row r="150" spans="2:2" x14ac:dyDescent="0.3">
      <c r="B150" t="s">
        <v>154</v>
      </c>
    </row>
    <row r="151" spans="2:2" x14ac:dyDescent="0.3">
      <c r="B151" t="s">
        <v>153</v>
      </c>
    </row>
    <row r="152" spans="2:2" x14ac:dyDescent="0.3">
      <c r="B152" t="s">
        <v>152</v>
      </c>
    </row>
    <row r="153" spans="2:2" x14ac:dyDescent="0.3">
      <c r="B153" t="s">
        <v>151</v>
      </c>
    </row>
    <row r="154" spans="2:2" x14ac:dyDescent="0.3">
      <c r="B154" t="s">
        <v>150</v>
      </c>
    </row>
    <row r="155" spans="2:2" x14ac:dyDescent="0.3">
      <c r="B155" t="s">
        <v>149</v>
      </c>
    </row>
    <row r="156" spans="2:2" x14ac:dyDescent="0.3">
      <c r="B156" t="s">
        <v>148</v>
      </c>
    </row>
    <row r="157" spans="2:2" x14ac:dyDescent="0.3">
      <c r="B157" t="s">
        <v>147</v>
      </c>
    </row>
    <row r="158" spans="2:2" x14ac:dyDescent="0.3">
      <c r="B158" t="s">
        <v>146</v>
      </c>
    </row>
    <row r="159" spans="2:2" x14ac:dyDescent="0.3">
      <c r="B159" t="s">
        <v>145</v>
      </c>
    </row>
    <row r="160" spans="2:2" x14ac:dyDescent="0.3">
      <c r="B160" t="s">
        <v>144</v>
      </c>
    </row>
    <row r="161" spans="2:2" x14ac:dyDescent="0.3">
      <c r="B161" t="s">
        <v>143</v>
      </c>
    </row>
    <row r="162" spans="2:2" x14ac:dyDescent="0.3">
      <c r="B162" t="s">
        <v>142</v>
      </c>
    </row>
    <row r="163" spans="2:2" x14ac:dyDescent="0.3">
      <c r="B163" t="s">
        <v>141</v>
      </c>
    </row>
    <row r="164" spans="2:2" x14ac:dyDescent="0.3">
      <c r="B164" t="s">
        <v>140</v>
      </c>
    </row>
    <row r="165" spans="2:2" x14ac:dyDescent="0.3">
      <c r="B165" t="s">
        <v>139</v>
      </c>
    </row>
    <row r="166" spans="2:2" x14ac:dyDescent="0.3">
      <c r="B166" t="s">
        <v>138</v>
      </c>
    </row>
    <row r="167" spans="2:2" x14ac:dyDescent="0.3">
      <c r="B167" t="s">
        <v>137</v>
      </c>
    </row>
    <row r="168" spans="2:2" x14ac:dyDescent="0.3">
      <c r="B168" t="s">
        <v>136</v>
      </c>
    </row>
    <row r="169" spans="2:2" x14ac:dyDescent="0.3">
      <c r="B169" t="s">
        <v>135</v>
      </c>
    </row>
    <row r="170" spans="2:2" x14ac:dyDescent="0.3">
      <c r="B170" t="s">
        <v>134</v>
      </c>
    </row>
    <row r="171" spans="2:2" x14ac:dyDescent="0.3">
      <c r="B171" t="s">
        <v>133</v>
      </c>
    </row>
    <row r="172" spans="2:2" x14ac:dyDescent="0.3">
      <c r="B172" t="s">
        <v>132</v>
      </c>
    </row>
    <row r="173" spans="2:2" x14ac:dyDescent="0.3">
      <c r="B173" t="s">
        <v>131</v>
      </c>
    </row>
    <row r="174" spans="2:2" x14ac:dyDescent="0.3">
      <c r="B174" t="s">
        <v>130</v>
      </c>
    </row>
    <row r="175" spans="2:2" x14ac:dyDescent="0.3">
      <c r="B175" t="s">
        <v>129</v>
      </c>
    </row>
    <row r="176" spans="2:2" x14ac:dyDescent="0.3">
      <c r="B176" t="s">
        <v>128</v>
      </c>
    </row>
    <row r="177" spans="2:2" x14ac:dyDescent="0.3">
      <c r="B177" t="s">
        <v>127</v>
      </c>
    </row>
    <row r="178" spans="2:2" x14ac:dyDescent="0.3">
      <c r="B178" t="s">
        <v>126</v>
      </c>
    </row>
    <row r="179" spans="2:2" x14ac:dyDescent="0.3">
      <c r="B179" t="s">
        <v>125</v>
      </c>
    </row>
    <row r="180" spans="2:2" x14ac:dyDescent="0.3">
      <c r="B180" t="s">
        <v>124</v>
      </c>
    </row>
    <row r="181" spans="2:2" x14ac:dyDescent="0.3">
      <c r="B181" t="s">
        <v>123</v>
      </c>
    </row>
    <row r="182" spans="2:2" x14ac:dyDescent="0.3">
      <c r="B182" t="s">
        <v>122</v>
      </c>
    </row>
    <row r="183" spans="2:2" x14ac:dyDescent="0.3">
      <c r="B183" t="s">
        <v>121</v>
      </c>
    </row>
    <row r="184" spans="2:2" x14ac:dyDescent="0.3">
      <c r="B184" t="s">
        <v>120</v>
      </c>
    </row>
    <row r="185" spans="2:2" x14ac:dyDescent="0.3">
      <c r="B185" t="s">
        <v>119</v>
      </c>
    </row>
    <row r="186" spans="2:2" x14ac:dyDescent="0.3">
      <c r="B186" t="s">
        <v>118</v>
      </c>
    </row>
    <row r="187" spans="2:2" x14ac:dyDescent="0.3">
      <c r="B187" t="s">
        <v>117</v>
      </c>
    </row>
    <row r="188" spans="2:2" x14ac:dyDescent="0.3">
      <c r="B188" t="s">
        <v>116</v>
      </c>
    </row>
    <row r="189" spans="2:2" x14ac:dyDescent="0.3">
      <c r="B189" t="s">
        <v>115</v>
      </c>
    </row>
    <row r="190" spans="2:2" x14ac:dyDescent="0.3">
      <c r="B190" t="s">
        <v>114</v>
      </c>
    </row>
    <row r="191" spans="2:2" x14ac:dyDescent="0.3">
      <c r="B191" t="s">
        <v>113</v>
      </c>
    </row>
    <row r="192" spans="2:2" x14ac:dyDescent="0.3">
      <c r="B192" t="s">
        <v>112</v>
      </c>
    </row>
    <row r="193" spans="2:2" x14ac:dyDescent="0.3">
      <c r="B193" t="s">
        <v>111</v>
      </c>
    </row>
    <row r="194" spans="2:2" x14ac:dyDescent="0.3">
      <c r="B194" t="s">
        <v>110</v>
      </c>
    </row>
    <row r="195" spans="2:2" x14ac:dyDescent="0.3">
      <c r="B195" t="s">
        <v>109</v>
      </c>
    </row>
    <row r="196" spans="2:2" x14ac:dyDescent="0.3">
      <c r="B196" t="s">
        <v>108</v>
      </c>
    </row>
    <row r="197" spans="2:2" x14ac:dyDescent="0.3">
      <c r="B197" t="s">
        <v>107</v>
      </c>
    </row>
    <row r="198" spans="2:2" x14ac:dyDescent="0.3">
      <c r="B198" t="s">
        <v>106</v>
      </c>
    </row>
    <row r="199" spans="2:2" x14ac:dyDescent="0.3">
      <c r="B199" t="s">
        <v>105</v>
      </c>
    </row>
    <row r="200" spans="2:2" x14ac:dyDescent="0.3">
      <c r="B200" t="s">
        <v>104</v>
      </c>
    </row>
    <row r="201" spans="2:2" x14ac:dyDescent="0.3">
      <c r="B201" t="s">
        <v>103</v>
      </c>
    </row>
    <row r="202" spans="2:2" x14ac:dyDescent="0.3">
      <c r="B202" t="s">
        <v>102</v>
      </c>
    </row>
    <row r="203" spans="2:2" x14ac:dyDescent="0.3">
      <c r="B203" t="s">
        <v>101</v>
      </c>
    </row>
    <row r="204" spans="2:2" x14ac:dyDescent="0.3">
      <c r="B204" t="s">
        <v>100</v>
      </c>
    </row>
    <row r="205" spans="2:2" x14ac:dyDescent="0.3">
      <c r="B205" t="s">
        <v>99</v>
      </c>
    </row>
    <row r="206" spans="2:2" x14ac:dyDescent="0.3">
      <c r="B206" t="s">
        <v>98</v>
      </c>
    </row>
    <row r="207" spans="2:2" x14ac:dyDescent="0.3">
      <c r="B207" t="s">
        <v>97</v>
      </c>
    </row>
    <row r="208" spans="2:2" x14ac:dyDescent="0.3">
      <c r="B208" t="s">
        <v>96</v>
      </c>
    </row>
    <row r="209" spans="2:2" x14ac:dyDescent="0.3">
      <c r="B209" t="s">
        <v>95</v>
      </c>
    </row>
    <row r="210" spans="2:2" x14ac:dyDescent="0.3">
      <c r="B210" t="s">
        <v>94</v>
      </c>
    </row>
    <row r="211" spans="2:2" x14ac:dyDescent="0.3">
      <c r="B211" t="s">
        <v>93</v>
      </c>
    </row>
    <row r="212" spans="2:2" x14ac:dyDescent="0.3">
      <c r="B212" t="s">
        <v>92</v>
      </c>
    </row>
    <row r="213" spans="2:2" x14ac:dyDescent="0.3">
      <c r="B213" t="s">
        <v>91</v>
      </c>
    </row>
    <row r="214" spans="2:2" x14ac:dyDescent="0.3">
      <c r="B214" t="s">
        <v>90</v>
      </c>
    </row>
    <row r="215" spans="2:2" x14ac:dyDescent="0.3">
      <c r="B215" t="s">
        <v>89</v>
      </c>
    </row>
    <row r="216" spans="2:2" x14ac:dyDescent="0.3">
      <c r="B216" t="s">
        <v>88</v>
      </c>
    </row>
    <row r="217" spans="2:2" x14ac:dyDescent="0.3">
      <c r="B217" t="s">
        <v>87</v>
      </c>
    </row>
    <row r="218" spans="2:2" x14ac:dyDescent="0.3">
      <c r="B218" t="s">
        <v>86</v>
      </c>
    </row>
    <row r="219" spans="2:2" x14ac:dyDescent="0.3">
      <c r="B219" t="s">
        <v>85</v>
      </c>
    </row>
    <row r="220" spans="2:2" x14ac:dyDescent="0.3">
      <c r="B220" t="s">
        <v>84</v>
      </c>
    </row>
    <row r="221" spans="2:2" x14ac:dyDescent="0.3">
      <c r="B221" t="s">
        <v>83</v>
      </c>
    </row>
    <row r="222" spans="2:2" x14ac:dyDescent="0.3">
      <c r="B222" t="s">
        <v>82</v>
      </c>
    </row>
    <row r="223" spans="2:2" x14ac:dyDescent="0.3">
      <c r="B223" t="s">
        <v>81</v>
      </c>
    </row>
    <row r="224" spans="2:2" x14ac:dyDescent="0.3">
      <c r="B224" t="s">
        <v>80</v>
      </c>
    </row>
    <row r="225" spans="2:2" x14ac:dyDescent="0.3">
      <c r="B225" t="s">
        <v>79</v>
      </c>
    </row>
    <row r="226" spans="2:2" x14ac:dyDescent="0.3">
      <c r="B226" t="s">
        <v>78</v>
      </c>
    </row>
    <row r="227" spans="2:2" x14ac:dyDescent="0.3">
      <c r="B227" t="s">
        <v>77</v>
      </c>
    </row>
    <row r="228" spans="2:2" x14ac:dyDescent="0.3">
      <c r="B228" t="s">
        <v>76</v>
      </c>
    </row>
    <row r="229" spans="2:2" x14ac:dyDescent="0.3">
      <c r="B229" t="s">
        <v>75</v>
      </c>
    </row>
    <row r="230" spans="2:2" x14ac:dyDescent="0.3">
      <c r="B230" t="s">
        <v>74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onStep">
                <anchor moveWithCells="1" sizeWithCells="1">
                  <from>
                    <xdr:col>2</xdr:col>
                    <xdr:colOff>0</xdr:colOff>
                    <xdr:row>1</xdr:row>
                    <xdr:rowOff>22860</xdr:rowOff>
                  </from>
                  <to>
                    <xdr:col>4</xdr:col>
                    <xdr:colOff>228600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onRun">
                <anchor moveWithCells="1" sizeWithCells="1">
                  <from>
                    <xdr:col>4</xdr:col>
                    <xdr:colOff>297180</xdr:colOff>
                    <xdr:row>1</xdr:row>
                    <xdr:rowOff>22860</xdr:rowOff>
                  </from>
                  <to>
                    <xdr:col>7</xdr:col>
                    <xdr:colOff>198120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tonPausa">
                <anchor moveWithCells="1" sizeWithCells="1">
                  <from>
                    <xdr:col>7</xdr:col>
                    <xdr:colOff>266700</xdr:colOff>
                    <xdr:row>1</xdr:row>
                    <xdr:rowOff>22860</xdr:rowOff>
                  </from>
                  <to>
                    <xdr:col>10</xdr:col>
                    <xdr:colOff>167640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otonReset">
                <anchor moveWithCells="1" sizeWithCells="1">
                  <from>
                    <xdr:col>10</xdr:col>
                    <xdr:colOff>236220</xdr:colOff>
                    <xdr:row>1</xdr:row>
                    <xdr:rowOff>22860</xdr:rowOff>
                  </from>
                  <to>
                    <xdr:col>13</xdr:col>
                    <xdr:colOff>137160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otonLoad">
                <anchor moveWithCells="1" sizeWithCells="1">
                  <from>
                    <xdr:col>13</xdr:col>
                    <xdr:colOff>205740</xdr:colOff>
                    <xdr:row>1</xdr:row>
                    <xdr:rowOff>22860</xdr:rowOff>
                  </from>
                  <to>
                    <xdr:col>17</xdr:col>
                    <xdr:colOff>289560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CPU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CHELO_777</dc:creator>
  <cp:lastModifiedBy>CHELO_777</cp:lastModifiedBy>
  <dcterms:created xsi:type="dcterms:W3CDTF">2026-09-29T00:05:02Z</dcterms:created>
  <dcterms:modified xsi:type="dcterms:W3CDTF">2026-09-29T18:01:38Z</dcterms:modified>
</cp:coreProperties>
</file>